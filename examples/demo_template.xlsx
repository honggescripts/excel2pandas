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定价测算" sheetId="1" r:id="rId1"/>
    <sheet name="运费价目" sheetId="2" r:id="rId2"/>
    <sheet name="平台费率" sheetId="3" r:id="rId3"/>
  </sheets>
  <calcPr calcId="124519" fullCalcOnLoad="1"/>
</workbook>
</file>

<file path=xl/sharedStrings.xml><?xml version="1.0" encoding="utf-8"?>
<sst xmlns="http://schemas.openxmlformats.org/spreadsheetml/2006/main" count="35" uniqueCount="29">
  <si>
    <t>商品编号</t>
  </si>
  <si>
    <t>商品名称</t>
  </si>
  <si>
    <t>类目</t>
  </si>
  <si>
    <t>平台</t>
  </si>
  <si>
    <t>成本价</t>
  </si>
  <si>
    <t>采购数量</t>
  </si>
  <si>
    <t>头程运费</t>
  </si>
  <si>
    <t>包装成本</t>
  </si>
  <si>
    <t>佣金率</t>
  </si>
  <si>
    <t>推广费</t>
  </si>
  <si>
    <t>单件成本</t>
  </si>
  <si>
    <t>参考售价</t>
  </si>
  <si>
    <t>平台佣金</t>
  </si>
  <si>
    <t>毛利</t>
  </si>
  <si>
    <t>毛利率</t>
  </si>
  <si>
    <t>定价档位</t>
  </si>
  <si>
    <t>建议售价</t>
  </si>
  <si>
    <t>毛利投产比</t>
  </si>
  <si>
    <t>是否达标</t>
  </si>
  <si>
    <t>备注</t>
  </si>
  <si>
    <t>SKU-10001</t>
  </si>
  <si>
    <t>示例商品</t>
  </si>
  <si>
    <t>家居</t>
  </si>
  <si>
    <t>平台A</t>
  </si>
  <si>
    <t>服饰</t>
  </si>
  <si>
    <t>数码</t>
  </si>
  <si>
    <t>美妆</t>
  </si>
  <si>
    <t>平台B</t>
  </si>
  <si>
    <t>平台C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</si>
</sst>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20" width="11.7109375" customWidth="1"/>
  </cols>
  <sheetData>
    <row r="1" spans="1:20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36</v>
      </c>
      <c r="F2">
        <v>100</v>
      </c>
      <c r="G2" s="2">
        <f>VLOOKUP(C2,运费价目!$A:$B,2,0)</f>
        <v>25.0</v>
      </c>
      <c r="H2" s="2">
        <f>ROUND(E2*0.12,2)</f>
        <v>4.32</v>
      </c>
      <c r="I2" s="3">
        <f>VLOOKUP(D2,平台费率!$A:$B,2,0)</f>
        <v>0.08</v>
      </c>
      <c r="J2">
        <v>8</v>
      </c>
      <c r="K2" s="2">
        <f>ROUND(H2+G2+E2*0.05,2)</f>
        <v>31.12</v>
      </c>
      <c r="L2">
        <v>99</v>
      </c>
      <c r="M2" s="2">
        <f>ROUND(L2*I2,2)</f>
        <v>7.92</v>
      </c>
      <c r="N2" s="2">
        <f>ROUND(L2-M2-K2-J2,2)</f>
        <v>51.96</v>
      </c>
      <c r="O2" s="4">
        <f>ROUND(N2/L2,4)</f>
        <v>0.5248</v>
      </c>
      <c r="P2" t="str">
        <f>IF(N2&gt;=30,"A",IF(N2&gt;=20,"B",IF(N2&gt;=10,"C","D")))</f>
        <v>A</v>
      </c>
      <c r="Q2" s="2">
        <f>CEILING(L2*1.2,5)</f>
        <v>120</v>
      </c>
      <c r="R2" s="2">
        <f>ROUND(N2/J2,2)</f>
        <v>6.5</v>
      </c>
      <c r="S2" t="str">
        <f>IF(O2&gt;=0.3,"是","否")</f>
        <v>是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4.7109375" customWidth="1"/>
  </cols>
  <sheetData>
    <row r="1" spans="1:2">
      <c r="A1" s="1" t="s">
        <v>2</v>
      </c>
      <c r="B1" s="1" t="s">
        <v>6</v>
      </c>
    </row>
    <row r="2" spans="1:2">
      <c r="A2" t="s">
        <v>22</v>
      </c>
      <c r="B2" s="2">
        <v>25</v>
      </c>
    </row>
    <row r="3" spans="1:2">
      <c r="A3" t="s">
        <v>24</v>
      </c>
      <c r="B3" s="2">
        <v>18</v>
      </c>
    </row>
    <row r="4" spans="1:2">
      <c r="A4" t="s">
        <v>25</v>
      </c>
      <c r="B4" s="2">
        <v>32</v>
      </c>
    </row>
    <row r="5" spans="1:2">
      <c r="A5" t="s">
        <v>26</v>
      </c>
      <c r="B5" s="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14.7109375" customWidth="1"/>
  </cols>
  <sheetData>
    <row r="1" spans="1:2">
      <c r="A1" s="1" t="s">
        <v>3</v>
      </c>
      <c r="B1" s="1" t="s">
        <v>8</v>
      </c>
    </row>
    <row r="2" spans="1:2">
      <c r="A2" t="s">
        <v>23</v>
      </c>
      <c r="B2" s="3">
        <v>0.08</v>
      </c>
    </row>
    <row r="3" spans="1:2">
      <c r="A3" t="s">
        <v>27</v>
      </c>
      <c r="B3" s="3">
        <v>0.12</v>
      </c>
    </row>
    <row r="4" spans="1:2">
      <c r="A4" t="s">
        <v>28</v>
      </c>
      <c r="B4" s="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定价测算</vt:lpstr>
      <vt:lpstr>运费价目</vt:lpstr>
      <vt:lpstr>平台费率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2026-09-20T08:28:30Z</dcterms:created>
  <dcterms:modified xsi:type="dcterms:W3CDTF">2026-09-20T08:28:30Z</dcterms:modified>
</cp:coreProperties>
</file>